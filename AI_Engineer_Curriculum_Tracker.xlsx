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iculum Tracker" sheetId="1" state="visible" r:id="rId3"/>
    <sheet name="Summary" sheetId="2" state="visible" r:id="rId4"/>
  </sheets>
  <definedNames>
    <definedName function="false" hidden="true" localSheetId="0" name="_xlnm._FilterDatabase" vbProcedure="false">'Curriculum Tracker'!$A$1:$H$77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<sst xmlns="http://schemas.openxmlformats.org/spreadsheetml/2006/main" count="501" uniqueCount="129">
  <si>
    <t xml:space="preserve">Track</t>
  </si>
  <si>
    <t xml:space="preserve">Module #</t>
  </si>
  <si>
    <t xml:space="preserve">Module</t>
  </si>
  <si>
    <t xml:space="preserve">Subtopic</t>
  </si>
  <si>
    <t xml:space="preserve">Priority</t>
  </si>
  <si>
    <t xml:space="preserve">Status</t>
  </si>
  <si>
    <t xml:space="preserve">Target Session</t>
  </si>
  <si>
    <t xml:space="preserve">Notes</t>
  </si>
  <si>
    <t xml:space="preserve">Track A — Making models useful with your data</t>
  </si>
  <si>
    <t xml:space="preserve">Module 1: Retrieval-Augmented Generation (RAG)</t>
  </si>
  <si>
    <t xml:space="preserve">Why retrieval, why now (frozen knowledge, hallucination, retraining doesn't scale)</t>
  </si>
  <si>
    <t xml:space="preserve">P0</t>
  </si>
  <si>
    <t xml:space="preserve">Built (slides only)</t>
  </si>
  <si>
    <t xml:space="preserve">Session 1 (Wed)</t>
  </si>
  <si>
    <t xml:space="preserve">Four ways to give a model new knowledge (prompting / RAG / fine-tuning / long context)</t>
  </si>
  <si>
    <t xml:space="preserve">Retrieve -&gt; augment -&gt; generate loop (core architecture)</t>
  </si>
  <si>
    <t xml:space="preserve">Embeddings and cosine similarity (text as geometry)</t>
  </si>
  <si>
    <t xml:space="preserve">Built (slides + live demo)</t>
  </si>
  <si>
    <t xml:space="preserve">Live demo: Embedding space tab</t>
  </si>
  <si>
    <t xml:space="preserve">Vector database landscape (Pinecone, Weaviate, pgvector, Milvus)</t>
  </si>
  <si>
    <t xml:space="preserve">Vector store running for real: Docker + pgvector + HNSW index</t>
  </si>
  <si>
    <t xml:space="preserve">Live demo: docker compose up, load + query Postgres</t>
  </si>
  <si>
    <t xml:space="preserve">Chunking strategies: fixed-size, semantic, parent-child</t>
  </si>
  <si>
    <t xml:space="preserve">Live demo: Chunking tab</t>
  </si>
  <si>
    <t xml:space="preserve">Chunk-size tradeoff (precision vs. context)</t>
  </si>
  <si>
    <t xml:space="preserve">P1</t>
  </si>
  <si>
    <t xml:space="preserve">Illustrative, not measured -- first to trim if short on time</t>
  </si>
  <si>
    <t xml:space="preserve">Hybrid retrieval: dense + BM25 + reranking</t>
  </si>
  <si>
    <t xml:space="preserve">Live demo: Retrieval tab (dense / sparse / hybrid columns)</t>
  </si>
  <si>
    <t xml:space="preserve">Contextual Retrieval case study (Anthropic: 49% / 67% failure reduction)</t>
  </si>
  <si>
    <t xml:space="preserve">Live demo: before/after score comparison box</t>
  </si>
  <si>
    <t xml:space="preserve">Closing the loop: generation via LLM proxy (top-k chunks + question -&gt; answer)</t>
  </si>
  <si>
    <t xml:space="preserve">Live demo: Generate tab, OpenAI-compatible proxy call</t>
  </si>
  <si>
    <t xml:space="preserve">Where naive RAG breaks (motivates Session 2)</t>
  </si>
  <si>
    <t xml:space="preserve">Session 2 (Fri)</t>
  </si>
  <si>
    <t xml:space="preserve">Self-RAG and Corrective RAG (model critiques its own retrieval)</t>
  </si>
  <si>
    <t xml:space="preserve">Adaptive RAG (complexity classifier routes simple vs. complex queries)</t>
  </si>
  <si>
    <t xml:space="preserve">GraphRAG (relationship-heavy queries -- compliance, research synthesis)</t>
  </si>
  <si>
    <t xml:space="preserve">Contextual compression (summarize/filter before the prompt, not retrieve-and-dump)</t>
  </si>
  <si>
    <t xml:space="preserve">Evaluating RAG: RAGAS, context precision/recall, faithfulness</t>
  </si>
  <si>
    <t xml:space="preserve">Build the eval set before scaling, not after</t>
  </si>
  <si>
    <t xml:space="preserve">Capstone: end-to-end pipeline diagram (all pieces together)</t>
  </si>
  <si>
    <t xml:space="preserve">Advanced RAG overview (map of the frontier patterns)</t>
  </si>
  <si>
    <t xml:space="preserve">P2</t>
  </si>
  <si>
    <t xml:space="preserve">HyDE (Hypothetical Document Embeddings)</t>
  </si>
  <si>
    <t xml:space="preserve">RAG-Fusion / multi-query retrieval</t>
  </si>
  <si>
    <t xml:space="preserve">RAPTOR (recursive abstractive tree retrieval)</t>
  </si>
  <si>
    <t xml:space="preserve">ColBERT (late interaction / MaxSim)</t>
  </si>
  <si>
    <t xml:space="preserve">Agentic RAG (retrieval as a tool-calling loop)</t>
  </si>
  <si>
    <t xml:space="preserve">Module 2: Fine-Tuning</t>
  </si>
  <si>
    <t xml:space="preserve">Decision sequence: Prompt -&gt; RAG -&gt; Fine-tune -&gt; Distill</t>
  </si>
  <si>
    <t xml:space="preserve">Planned</t>
  </si>
  <si>
    <t xml:space="preserve">TBD</t>
  </si>
  <si>
    <t xml:space="preserve">RAG changes what the model knows; fine-tuning changes how it behaves</t>
  </si>
  <si>
    <t xml:space="preserve">Full fine-tuning vs. LoRA vs. QLoRA (LoRA/QLoRA as the 2026 default)</t>
  </si>
  <si>
    <t xml:space="preserve">Technique by data type: SFT, DPO/ORPO/KTO, RFT</t>
  </si>
  <si>
    <t xml:space="preserve">Distillation: frontier model generates outputs, fine-tune a small model to mimic them</t>
  </si>
  <si>
    <t xml:space="preserve">Eval harness must exist before training</t>
  </si>
  <si>
    <t xml:space="preserve">Track B — Agentic engineering</t>
  </si>
  <si>
    <t xml:space="preserve">Module 3: Context Engineering</t>
  </si>
  <si>
    <t xml:space="preserve">Definition: designing everything the model sees on every call</t>
  </si>
  <si>
    <t xml:space="preserve">LangChain's four operations: Write, Select, Compress, Isolate</t>
  </si>
  <si>
    <t xml:space="preserve">Context rot (degradation as the window fills)</t>
  </si>
  <si>
    <t xml:space="preserve">The 'dumb zone' -- middle 40-60% of a large context window</t>
  </si>
  <si>
    <t xml:space="preserve">Module 4: Loop Engineering (Agent Loops)</t>
  </si>
  <si>
    <t xml:space="preserve">Runtime formula: Agent = LLM + Memory + Planning + Tool Use</t>
  </si>
  <si>
    <t xml:space="preserve">ReAct (Thought -&gt; Action -&gt; Observation)</t>
  </si>
  <si>
    <t xml:space="preserve">Plan-and-Execute (plan upfront, execute, replan when wrong)</t>
  </si>
  <si>
    <t xml:space="preserve">Reflexion / self-reflection loops</t>
  </si>
  <si>
    <t xml:space="preserve">Ralph loop (refine-until-done, bash-loop thinking)</t>
  </si>
  <si>
    <t xml:space="preserve">Agent-Computer Interface (ACI) for coding agents</t>
  </si>
  <si>
    <t xml:space="preserve">Module 5: Harness Engineering</t>
  </si>
  <si>
    <t xml:space="preserve">Equation: Agent = Model + Harness</t>
  </si>
  <si>
    <t xml:space="preserve">What a harness is: tools, sandboxes, feedback loops, permission tiers, memory policy</t>
  </si>
  <si>
    <t xml:space="preserve">Agent harness vs. system harness vs. coding harness</t>
  </si>
  <si>
    <t xml:space="preserve">Agentic Harness Engineering (AHE): treating the harness as measurable and revisable</t>
  </si>
  <si>
    <t xml:space="preserve">Most agent failures trace to harness gaps, not bad model generation</t>
  </si>
  <si>
    <t xml:space="preserve">Module 6: Model Context Protocol (MCP)</t>
  </si>
  <si>
    <t xml:space="preserve">The N x M integration problem -&gt; MCP reduces it to N + M</t>
  </si>
  <si>
    <t xml:space="preserve">Architecture: host, client, server</t>
  </si>
  <si>
    <t xml:space="preserve">Three primitives: tools, resources, prompts</t>
  </si>
  <si>
    <t xml:space="preserve">Code execution with MCP (agents write code to call tools, cuts context overhead)</t>
  </si>
  <si>
    <t xml:space="preserve">Governance: vendor-neutral, donated to the Agentic AI Foundation</t>
  </si>
  <si>
    <t xml:space="preserve">Module 7: Skills</t>
  </si>
  <si>
    <t xml:space="preserve">Mental model: MCP is the kitchen, Skills are the recipes</t>
  </si>
  <si>
    <t xml:space="preserve">Progressive disclosure (name+description at session start, full body only when triggered)</t>
  </si>
  <si>
    <t xml:space="preserve">Design principles: progressive disclosure, composability, portability</t>
  </si>
  <si>
    <t xml:space="preserve">The description is a routing rule, not documentation</t>
  </si>
  <si>
    <t xml:space="preserve">Skills vs. subagents (and how they compose)</t>
  </si>
  <si>
    <t xml:space="preserve">Module 8: Multi-Agent Orchestration</t>
  </si>
  <si>
    <t xml:space="preserve">Reference architecture: orchestrator-worker</t>
  </si>
  <si>
    <t xml:space="preserve">The isolation boundary (self-contained subagent tasks, no mid-task coordination)</t>
  </si>
  <si>
    <t xml:space="preserve">Contrast: swarm / peer-to-peer (shared state via message bus)</t>
  </si>
  <si>
    <t xml:space="preserve">Cost/benefit: +90.2% on complex research tasks at ~15x token cost</t>
  </si>
  <si>
    <t xml:space="preserve">Caution: default to single agent, earn your way into multi-agent with evidence</t>
  </si>
  <si>
    <t xml:space="preserve">Module 9: 12-Factor Agents (Production Discipline)</t>
  </si>
  <si>
    <t xml:space="preserve">Core insight: production agents are well-engineered software, not autonomous marvels</t>
  </si>
  <si>
    <t xml:space="preserve">Highest-leverage factors: own your prompts, context window, control flow</t>
  </si>
  <si>
    <t xml:space="preserve">Anti-pattern: frameworks that hide prompts, control flow, state, or approval paths</t>
  </si>
  <si>
    <t xml:space="preserve">Track C — Shipping and operating it</t>
  </si>
  <si>
    <t xml:space="preserve">Module 10: Evals</t>
  </si>
  <si>
    <t xml:space="preserve">Agent harness vs. eval harness</t>
  </si>
  <si>
    <t xml:space="preserve">Practical ladder: deterministic checks -&gt; LLM-as-judge -&gt; production monitoring</t>
  </si>
  <si>
    <t xml:space="preserve">Calibrating an LLM judge against human-graded examples (80% agreement bar)</t>
  </si>
  <si>
    <t xml:space="preserve">Eval the full delegation tree, not just the final output</t>
  </si>
  <si>
    <t xml:space="preserve">Module 11: LLMOps &amp; Observability</t>
  </si>
  <si>
    <t xml:space="preserve">LLMOps vs. MLOps (token cost and output quality replace drift/retraining)</t>
  </si>
  <si>
    <t xml:space="preserve">Tracing standard: OpenTelemetry GenAI semantic conventions</t>
  </si>
  <si>
    <t xml:space="preserve">Structured logging: model version, prompt hash, tokens, latency, trace ID</t>
  </si>
  <si>
    <t xml:space="preserve">Cost control: model routing, shadow-mode / canary rollouts</t>
  </si>
  <si>
    <t xml:space="preserve">Incident runbooks per failure mode</t>
  </si>
  <si>
    <t xml:space="preserve">Module 12: Security &amp; Guardrails</t>
  </si>
  <si>
    <t xml:space="preserve">Prompt injection: direct and indirect (OWASP Top 10 for LLM Applications)</t>
  </si>
  <si>
    <t xml:space="preserve">Defense-in-depth: instruction hierarchy, context isolation, output validation, sandboxing</t>
  </si>
  <si>
    <t xml:space="preserve">Assume injection eventually succeeds -- design for containment (blast radius)</t>
  </si>
  <si>
    <t xml:space="preserve">Blast radius scales with tool access and autonomy -- least-privilege matters more for agents</t>
  </si>
  <si>
    <t xml:space="preserve">Legend</t>
  </si>
  <si>
    <t xml:space="preserve">Priority -- P0: must-know core (teach even if time is short) | P1: important, teach if time allows | P2: nice-to-have / advanced, first to cut.</t>
  </si>
  <si>
    <t xml:space="preserve">Status -- 'Built (slides + live demo)': slides exist and a working hands-on demo backs them | 'Built (slides only)': slides exist, no live demo yet | 'Planned': curriculum outline exists, no slides/demo yet.</t>
  </si>
  <si>
    <t xml:space="preserve">Target Session -- which class slot this is taught in. 'TBD' means not yet scheduled.</t>
  </si>
  <si>
    <t xml:space="preserve">Edit the Priority, Status, and Target Session columns (dropdowns) as modules are built or rescheduled -- the Summary sheet updates automatically.</t>
  </si>
  <si>
    <t xml:space="preserve">AI Engineer Curriculum -- Tracker Summary</t>
  </si>
  <si>
    <t xml:space="preserve">By Priority</t>
  </si>
  <si>
    <t xml:space="preserve"># Subtopics</t>
  </si>
  <si>
    <t xml:space="preserve">Total</t>
  </si>
  <si>
    <t xml:space="preserve">By Status</t>
  </si>
  <si>
    <t xml:space="preserve">By Track</t>
  </si>
  <si>
    <t xml:space="preserve"># Planned</t>
  </si>
  <si>
    <t xml:space="preserve">Note: this Summary recalculates from the Tracker sheet automatically -- edit Priority/Status/Target Session there, not here.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</si>
</sst>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2F2F2"/>
      </patternFill>
    </fill>
    <fill>
      <patternFill patternType="solid">
        <fgColor rgb="FFFDF2E9"/>
        <bgColor rgb="FFF2F2F2"/>
      </patternFill>
    </fill>
    <fill>
      <patternFill patternType="solid">
        <fgColor rgb="FFEAFA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AFAF1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2E9"/>
      <rgbColor rgb="FFEAFAF1"/>
      <rgbColor rgb="FF660066"/>
      <rgbColor rgb="FFFF8080"/>
      <rgbColor rgb="FF0066CC"/>
      <rgbColor rgb="FFEAF1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4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n">
        <v>1</v>
      </c>
      <c r="C2" s="2" t="s">
        <v>9</v>
      </c>
      <c r="D2" s="2" t="s">
        <v>10</v>
      </c>
      <c r="E2" s="3" t="s">
        <v>11</v>
      </c>
      <c r="F2" s="4" t="s">
        <v>12</v>
      </c>
      <c r="G2" s="3" t="s">
        <v>13</v>
      </c>
      <c r="H2" s="2"/>
    </row>
    <row r="3" customFormat="false" ht="23.85" hidden="false" customHeight="false" outlineLevel="0" collapsed="false">
      <c r="A3" s="2" t="s">
        <v>8</v>
      </c>
      <c r="B3" s="3" t="n">
        <v>1</v>
      </c>
      <c r="C3" s="2" t="s">
        <v>9</v>
      </c>
      <c r="D3" s="2" t="s">
        <v>14</v>
      </c>
      <c r="E3" s="3" t="s">
        <v>11</v>
      </c>
      <c r="F3" s="4" t="s">
        <v>12</v>
      </c>
      <c r="G3" s="3" t="s">
        <v>13</v>
      </c>
      <c r="H3" s="2"/>
    </row>
    <row r="4" customFormat="false" ht="23.85" hidden="false" customHeight="false" outlineLevel="0" collapsed="false">
      <c r="A4" s="2" t="s">
        <v>8</v>
      </c>
      <c r="B4" s="3" t="n">
        <v>1</v>
      </c>
      <c r="C4" s="2" t="s">
        <v>9</v>
      </c>
      <c r="D4" s="2" t="s">
        <v>15</v>
      </c>
      <c r="E4" s="3" t="s">
        <v>11</v>
      </c>
      <c r="F4" s="4" t="s">
        <v>12</v>
      </c>
      <c r="G4" s="3" t="s">
        <v>13</v>
      </c>
      <c r="H4" s="2"/>
    </row>
    <row r="5" customFormat="false" ht="23.85" hidden="false" customHeight="false" outlineLevel="0" collapsed="false">
      <c r="A5" s="2" t="s">
        <v>8</v>
      </c>
      <c r="B5" s="3" t="n">
        <v>1</v>
      </c>
      <c r="C5" s="2" t="s">
        <v>9</v>
      </c>
      <c r="D5" s="2" t="s">
        <v>16</v>
      </c>
      <c r="E5" s="3" t="s">
        <v>11</v>
      </c>
      <c r="F5" s="4" t="s">
        <v>17</v>
      </c>
      <c r="G5" s="3" t="s">
        <v>13</v>
      </c>
      <c r="H5" s="2" t="s">
        <v>18</v>
      </c>
    </row>
    <row r="6" customFormat="false" ht="23.85" hidden="false" customHeight="false" outlineLevel="0" collapsed="false">
      <c r="A6" s="2" t="s">
        <v>8</v>
      </c>
      <c r="B6" s="3" t="n">
        <v>1</v>
      </c>
      <c r="C6" s="2" t="s">
        <v>9</v>
      </c>
      <c r="D6" s="2" t="s">
        <v>19</v>
      </c>
      <c r="E6" s="3" t="s">
        <v>11</v>
      </c>
      <c r="F6" s="4" t="s">
        <v>12</v>
      </c>
      <c r="G6" s="3" t="s">
        <v>13</v>
      </c>
      <c r="H6" s="2"/>
    </row>
    <row r="7" customFormat="false" ht="23.85" hidden="false" customHeight="false" outlineLevel="0" collapsed="false">
      <c r="A7" s="2" t="s">
        <v>8</v>
      </c>
      <c r="B7" s="3" t="n">
        <v>1</v>
      </c>
      <c r="C7" s="2" t="s">
        <v>9</v>
      </c>
      <c r="D7" s="2" t="s">
        <v>20</v>
      </c>
      <c r="E7" s="3" t="s">
        <v>11</v>
      </c>
      <c r="F7" s="4" t="s">
        <v>17</v>
      </c>
      <c r="G7" s="3" t="s">
        <v>13</v>
      </c>
      <c r="H7" s="2" t="s">
        <v>21</v>
      </c>
    </row>
    <row r="8" customFormat="false" ht="23.85" hidden="false" customHeight="false" outlineLevel="0" collapsed="false">
      <c r="A8" s="2" t="s">
        <v>8</v>
      </c>
      <c r="B8" s="3" t="n">
        <v>1</v>
      </c>
      <c r="C8" s="2" t="s">
        <v>9</v>
      </c>
      <c r="D8" s="2" t="s">
        <v>22</v>
      </c>
      <c r="E8" s="3" t="s">
        <v>11</v>
      </c>
      <c r="F8" s="4" t="s">
        <v>17</v>
      </c>
      <c r="G8" s="3" t="s">
        <v>13</v>
      </c>
      <c r="H8" s="2" t="s">
        <v>23</v>
      </c>
    </row>
    <row r="9" customFormat="false" ht="23.85" hidden="false" customHeight="false" outlineLevel="0" collapsed="false">
      <c r="A9" s="2" t="s">
        <v>8</v>
      </c>
      <c r="B9" s="3" t="n">
        <v>1</v>
      </c>
      <c r="C9" s="2" t="s">
        <v>9</v>
      </c>
      <c r="D9" s="2" t="s">
        <v>24</v>
      </c>
      <c r="E9" s="3" t="s">
        <v>25</v>
      </c>
      <c r="F9" s="4" t="s">
        <v>12</v>
      </c>
      <c r="G9" s="3" t="s">
        <v>13</v>
      </c>
      <c r="H9" s="2" t="s">
        <v>26</v>
      </c>
    </row>
    <row r="10" customFormat="false" ht="23.85" hidden="false" customHeight="false" outlineLevel="0" collapsed="false">
      <c r="A10" s="2" t="s">
        <v>8</v>
      </c>
      <c r="B10" s="3" t="n">
        <v>1</v>
      </c>
      <c r="C10" s="2" t="s">
        <v>9</v>
      </c>
      <c r="D10" s="2" t="s">
        <v>27</v>
      </c>
      <c r="E10" s="3" t="s">
        <v>11</v>
      </c>
      <c r="F10" s="4" t="s">
        <v>17</v>
      </c>
      <c r="G10" s="3" t="s">
        <v>13</v>
      </c>
      <c r="H10" s="2" t="s">
        <v>28</v>
      </c>
    </row>
    <row r="11" customFormat="false" ht="23.85" hidden="false" customHeight="false" outlineLevel="0" collapsed="false">
      <c r="A11" s="2" t="s">
        <v>8</v>
      </c>
      <c r="B11" s="3" t="n">
        <v>1</v>
      </c>
      <c r="C11" s="2" t="s">
        <v>9</v>
      </c>
      <c r="D11" s="2" t="s">
        <v>29</v>
      </c>
      <c r="E11" s="3" t="s">
        <v>11</v>
      </c>
      <c r="F11" s="4" t="s">
        <v>17</v>
      </c>
      <c r="G11" s="3" t="s">
        <v>13</v>
      </c>
      <c r="H11" s="2" t="s">
        <v>30</v>
      </c>
    </row>
    <row r="12" customFormat="false" ht="23.85" hidden="false" customHeight="false" outlineLevel="0" collapsed="false">
      <c r="A12" s="2" t="s">
        <v>8</v>
      </c>
      <c r="B12" s="3" t="n">
        <v>1</v>
      </c>
      <c r="C12" s="2" t="s">
        <v>9</v>
      </c>
      <c r="D12" s="2" t="s">
        <v>31</v>
      </c>
      <c r="E12" s="3" t="s">
        <v>11</v>
      </c>
      <c r="F12" s="4" t="s">
        <v>17</v>
      </c>
      <c r="G12" s="3" t="s">
        <v>13</v>
      </c>
      <c r="H12" s="2" t="s">
        <v>32</v>
      </c>
    </row>
    <row r="13" customFormat="false" ht="23.85" hidden="false" customHeight="false" outlineLevel="0" collapsed="false">
      <c r="A13" s="2" t="s">
        <v>8</v>
      </c>
      <c r="B13" s="3" t="n">
        <v>1</v>
      </c>
      <c r="C13" s="2" t="s">
        <v>9</v>
      </c>
      <c r="D13" s="2" t="s">
        <v>33</v>
      </c>
      <c r="E13" s="3" t="s">
        <v>25</v>
      </c>
      <c r="F13" s="4" t="s">
        <v>12</v>
      </c>
      <c r="G13" s="3" t="s">
        <v>34</v>
      </c>
      <c r="H13" s="2"/>
    </row>
    <row r="14" customFormat="false" ht="23.85" hidden="false" customHeight="false" outlineLevel="0" collapsed="false">
      <c r="A14" s="2" t="s">
        <v>8</v>
      </c>
      <c r="B14" s="3" t="n">
        <v>1</v>
      </c>
      <c r="C14" s="2" t="s">
        <v>9</v>
      </c>
      <c r="D14" s="2" t="s">
        <v>35</v>
      </c>
      <c r="E14" s="3" t="s">
        <v>25</v>
      </c>
      <c r="F14" s="4" t="s">
        <v>12</v>
      </c>
      <c r="G14" s="3" t="s">
        <v>34</v>
      </c>
      <c r="H14" s="2"/>
    </row>
    <row r="15" customFormat="false" ht="23.85" hidden="false" customHeight="false" outlineLevel="0" collapsed="false">
      <c r="A15" s="2" t="s">
        <v>8</v>
      </c>
      <c r="B15" s="3" t="n">
        <v>1</v>
      </c>
      <c r="C15" s="2" t="s">
        <v>9</v>
      </c>
      <c r="D15" s="2" t="s">
        <v>36</v>
      </c>
      <c r="E15" s="3" t="s">
        <v>25</v>
      </c>
      <c r="F15" s="4" t="s">
        <v>12</v>
      </c>
      <c r="G15" s="3" t="s">
        <v>34</v>
      </c>
      <c r="H15" s="2"/>
    </row>
    <row r="16" customFormat="false" ht="23.85" hidden="false" customHeight="false" outlineLevel="0" collapsed="false">
      <c r="A16" s="2" t="s">
        <v>8</v>
      </c>
      <c r="B16" s="3" t="n">
        <v>1</v>
      </c>
      <c r="C16" s="2" t="s">
        <v>9</v>
      </c>
      <c r="D16" s="2" t="s">
        <v>37</v>
      </c>
      <c r="E16" s="3" t="s">
        <v>25</v>
      </c>
      <c r="F16" s="4" t="s">
        <v>12</v>
      </c>
      <c r="G16" s="3" t="s">
        <v>34</v>
      </c>
      <c r="H16" s="2"/>
    </row>
    <row r="17" customFormat="false" ht="23.85" hidden="false" customHeight="false" outlineLevel="0" collapsed="false">
      <c r="A17" s="2" t="s">
        <v>8</v>
      </c>
      <c r="B17" s="3" t="n">
        <v>1</v>
      </c>
      <c r="C17" s="2" t="s">
        <v>9</v>
      </c>
      <c r="D17" s="2" t="s">
        <v>38</v>
      </c>
      <c r="E17" s="3" t="s">
        <v>25</v>
      </c>
      <c r="F17" s="4" t="s">
        <v>12</v>
      </c>
      <c r="G17" s="3" t="s">
        <v>34</v>
      </c>
      <c r="H17" s="2"/>
    </row>
    <row r="18" customFormat="false" ht="23.85" hidden="false" customHeight="false" outlineLevel="0" collapsed="false">
      <c r="A18" s="2" t="s">
        <v>8</v>
      </c>
      <c r="B18" s="3" t="n">
        <v>1</v>
      </c>
      <c r="C18" s="2" t="s">
        <v>9</v>
      </c>
      <c r="D18" s="2" t="s">
        <v>39</v>
      </c>
      <c r="E18" s="3" t="s">
        <v>25</v>
      </c>
      <c r="F18" s="4" t="s">
        <v>12</v>
      </c>
      <c r="G18" s="3" t="s">
        <v>34</v>
      </c>
      <c r="H18" s="2" t="s">
        <v>40</v>
      </c>
    </row>
    <row r="19" customFormat="false" ht="23.85" hidden="false" customHeight="false" outlineLevel="0" collapsed="false">
      <c r="A19" s="2" t="s">
        <v>8</v>
      </c>
      <c r="B19" s="3" t="n">
        <v>1</v>
      </c>
      <c r="C19" s="2" t="s">
        <v>9</v>
      </c>
      <c r="D19" s="2" t="s">
        <v>41</v>
      </c>
      <c r="E19" s="3" t="s">
        <v>25</v>
      </c>
      <c r="F19" s="4" t="s">
        <v>12</v>
      </c>
      <c r="G19" s="3" t="s">
        <v>34</v>
      </c>
      <c r="H19" s="2"/>
    </row>
    <row r="20" customFormat="false" ht="23.85" hidden="false" customHeight="false" outlineLevel="0" collapsed="false">
      <c r="A20" s="2" t="s">
        <v>8</v>
      </c>
      <c r="B20" s="3" t="n">
        <v>1</v>
      </c>
      <c r="C20" s="2" t="s">
        <v>9</v>
      </c>
      <c r="D20" s="2" t="s">
        <v>42</v>
      </c>
      <c r="E20" s="3" t="s">
        <v>43</v>
      </c>
      <c r="F20" s="4" t="s">
        <v>12</v>
      </c>
      <c r="G20" s="3" t="s">
        <v>34</v>
      </c>
      <c r="H20" s="2"/>
    </row>
    <row r="21" customFormat="false" ht="23.85" hidden="false" customHeight="false" outlineLevel="0" collapsed="false">
      <c r="A21" s="2" t="s">
        <v>8</v>
      </c>
      <c r="B21" s="3" t="n">
        <v>1</v>
      </c>
      <c r="C21" s="2" t="s">
        <v>9</v>
      </c>
      <c r="D21" s="2" t="s">
        <v>44</v>
      </c>
      <c r="E21" s="3" t="s">
        <v>43</v>
      </c>
      <c r="F21" s="4" t="s">
        <v>12</v>
      </c>
      <c r="G21" s="3" t="s">
        <v>34</v>
      </c>
      <c r="H21" s="2"/>
    </row>
    <row r="22" customFormat="false" ht="23.85" hidden="false" customHeight="false" outlineLevel="0" collapsed="false">
      <c r="A22" s="2" t="s">
        <v>8</v>
      </c>
      <c r="B22" s="3" t="n">
        <v>1</v>
      </c>
      <c r="C22" s="2" t="s">
        <v>9</v>
      </c>
      <c r="D22" s="2" t="s">
        <v>45</v>
      </c>
      <c r="E22" s="3" t="s">
        <v>43</v>
      </c>
      <c r="F22" s="4" t="s">
        <v>12</v>
      </c>
      <c r="G22" s="3" t="s">
        <v>34</v>
      </c>
      <c r="H22" s="2"/>
    </row>
    <row r="23" customFormat="false" ht="23.85" hidden="false" customHeight="false" outlineLevel="0" collapsed="false">
      <c r="A23" s="2" t="s">
        <v>8</v>
      </c>
      <c r="B23" s="3" t="n">
        <v>1</v>
      </c>
      <c r="C23" s="2" t="s">
        <v>9</v>
      </c>
      <c r="D23" s="2" t="s">
        <v>46</v>
      </c>
      <c r="E23" s="3" t="s">
        <v>43</v>
      </c>
      <c r="F23" s="4" t="s">
        <v>12</v>
      </c>
      <c r="G23" s="3" t="s">
        <v>34</v>
      </c>
      <c r="H23" s="2"/>
    </row>
    <row r="24" customFormat="false" ht="23.85" hidden="false" customHeight="false" outlineLevel="0" collapsed="false">
      <c r="A24" s="2" t="s">
        <v>8</v>
      </c>
      <c r="B24" s="3" t="n">
        <v>1</v>
      </c>
      <c r="C24" s="2" t="s">
        <v>9</v>
      </c>
      <c r="D24" s="2" t="s">
        <v>47</v>
      </c>
      <c r="E24" s="3" t="s">
        <v>43</v>
      </c>
      <c r="F24" s="4" t="s">
        <v>12</v>
      </c>
      <c r="G24" s="3" t="s">
        <v>34</v>
      </c>
      <c r="H24" s="2"/>
    </row>
    <row r="25" customFormat="false" ht="23.85" hidden="false" customHeight="false" outlineLevel="0" collapsed="false">
      <c r="A25" s="2" t="s">
        <v>8</v>
      </c>
      <c r="B25" s="3" t="n">
        <v>1</v>
      </c>
      <c r="C25" s="2" t="s">
        <v>9</v>
      </c>
      <c r="D25" s="2" t="s">
        <v>48</v>
      </c>
      <c r="E25" s="3" t="s">
        <v>43</v>
      </c>
      <c r="F25" s="4" t="s">
        <v>12</v>
      </c>
      <c r="G25" s="3" t="s">
        <v>34</v>
      </c>
      <c r="H25" s="2"/>
    </row>
    <row r="26" customFormat="false" ht="23.85" hidden="false" customHeight="false" outlineLevel="0" collapsed="false">
      <c r="A26" s="2" t="s">
        <v>8</v>
      </c>
      <c r="B26" s="3" t="n">
        <v>2</v>
      </c>
      <c r="C26" s="2" t="s">
        <v>49</v>
      </c>
      <c r="D26" s="2" t="s">
        <v>50</v>
      </c>
      <c r="E26" s="3" t="s">
        <v>25</v>
      </c>
      <c r="F26" s="4" t="s">
        <v>51</v>
      </c>
      <c r="G26" s="3" t="s">
        <v>52</v>
      </c>
      <c r="H26" s="2"/>
    </row>
    <row r="27" customFormat="false" ht="23.85" hidden="false" customHeight="false" outlineLevel="0" collapsed="false">
      <c r="A27" s="2" t="s">
        <v>8</v>
      </c>
      <c r="B27" s="3" t="n">
        <v>2</v>
      </c>
      <c r="C27" s="2" t="s">
        <v>49</v>
      </c>
      <c r="D27" s="2" t="s">
        <v>53</v>
      </c>
      <c r="E27" s="3" t="s">
        <v>25</v>
      </c>
      <c r="F27" s="4" t="s">
        <v>51</v>
      </c>
      <c r="G27" s="3" t="s">
        <v>52</v>
      </c>
      <c r="H27" s="2"/>
    </row>
    <row r="28" customFormat="false" ht="23.85" hidden="false" customHeight="false" outlineLevel="0" collapsed="false">
      <c r="A28" s="2" t="s">
        <v>8</v>
      </c>
      <c r="B28" s="3" t="n">
        <v>2</v>
      </c>
      <c r="C28" s="2" t="s">
        <v>49</v>
      </c>
      <c r="D28" s="2" t="s">
        <v>54</v>
      </c>
      <c r="E28" s="3" t="s">
        <v>25</v>
      </c>
      <c r="F28" s="4" t="s">
        <v>51</v>
      </c>
      <c r="G28" s="3" t="s">
        <v>52</v>
      </c>
      <c r="H28" s="2"/>
    </row>
    <row r="29" customFormat="false" ht="23.85" hidden="false" customHeight="false" outlineLevel="0" collapsed="false">
      <c r="A29" s="2" t="s">
        <v>8</v>
      </c>
      <c r="B29" s="3" t="n">
        <v>2</v>
      </c>
      <c r="C29" s="2" t="s">
        <v>49</v>
      </c>
      <c r="D29" s="2" t="s">
        <v>55</v>
      </c>
      <c r="E29" s="3" t="s">
        <v>25</v>
      </c>
      <c r="F29" s="4" t="s">
        <v>51</v>
      </c>
      <c r="G29" s="3" t="s">
        <v>52</v>
      </c>
      <c r="H29" s="2"/>
    </row>
    <row r="30" customFormat="false" ht="23.85" hidden="false" customHeight="false" outlineLevel="0" collapsed="false">
      <c r="A30" s="2" t="s">
        <v>8</v>
      </c>
      <c r="B30" s="3" t="n">
        <v>2</v>
      </c>
      <c r="C30" s="2" t="s">
        <v>49</v>
      </c>
      <c r="D30" s="2" t="s">
        <v>56</v>
      </c>
      <c r="E30" s="3" t="s">
        <v>25</v>
      </c>
      <c r="F30" s="4" t="s">
        <v>51</v>
      </c>
      <c r="G30" s="3" t="s">
        <v>52</v>
      </c>
      <c r="H30" s="2"/>
    </row>
    <row r="31" customFormat="false" ht="23.85" hidden="false" customHeight="false" outlineLevel="0" collapsed="false">
      <c r="A31" s="2" t="s">
        <v>8</v>
      </c>
      <c r="B31" s="3" t="n">
        <v>2</v>
      </c>
      <c r="C31" s="2" t="s">
        <v>49</v>
      </c>
      <c r="D31" s="2" t="s">
        <v>57</v>
      </c>
      <c r="E31" s="3" t="s">
        <v>11</v>
      </c>
      <c r="F31" s="4" t="s">
        <v>51</v>
      </c>
      <c r="G31" s="3" t="s">
        <v>52</v>
      </c>
      <c r="H31" s="2"/>
    </row>
    <row r="32" customFormat="false" ht="15" hidden="false" customHeight="false" outlineLevel="0" collapsed="false">
      <c r="A32" s="5" t="s">
        <v>58</v>
      </c>
      <c r="B32" s="6" t="n">
        <v>3</v>
      </c>
      <c r="C32" s="5" t="s">
        <v>59</v>
      </c>
      <c r="D32" s="5" t="s">
        <v>60</v>
      </c>
      <c r="E32" s="6" t="s">
        <v>11</v>
      </c>
      <c r="F32" s="7" t="s">
        <v>51</v>
      </c>
      <c r="G32" s="6" t="s">
        <v>52</v>
      </c>
      <c r="H32" s="5"/>
    </row>
    <row r="33" customFormat="false" ht="15" hidden="false" customHeight="false" outlineLevel="0" collapsed="false">
      <c r="A33" s="5" t="s">
        <v>58</v>
      </c>
      <c r="B33" s="6" t="n">
        <v>3</v>
      </c>
      <c r="C33" s="5" t="s">
        <v>59</v>
      </c>
      <c r="D33" s="5" t="s">
        <v>61</v>
      </c>
      <c r="E33" s="6" t="s">
        <v>11</v>
      </c>
      <c r="F33" s="7" t="s">
        <v>51</v>
      </c>
      <c r="G33" s="6" t="s">
        <v>52</v>
      </c>
      <c r="H33" s="5"/>
    </row>
    <row r="34" customFormat="false" ht="15" hidden="false" customHeight="false" outlineLevel="0" collapsed="false">
      <c r="A34" s="5" t="s">
        <v>58</v>
      </c>
      <c r="B34" s="6" t="n">
        <v>3</v>
      </c>
      <c r="C34" s="5" t="s">
        <v>59</v>
      </c>
      <c r="D34" s="5" t="s">
        <v>62</v>
      </c>
      <c r="E34" s="6" t="s">
        <v>25</v>
      </c>
      <c r="F34" s="7" t="s">
        <v>51</v>
      </c>
      <c r="G34" s="6" t="s">
        <v>52</v>
      </c>
      <c r="H34" s="5"/>
    </row>
    <row r="35" customFormat="false" ht="15" hidden="false" customHeight="false" outlineLevel="0" collapsed="false">
      <c r="A35" s="5" t="s">
        <v>58</v>
      </c>
      <c r="B35" s="6" t="n">
        <v>3</v>
      </c>
      <c r="C35" s="5" t="s">
        <v>59</v>
      </c>
      <c r="D35" s="5" t="s">
        <v>63</v>
      </c>
      <c r="E35" s="6" t="s">
        <v>25</v>
      </c>
      <c r="F35" s="7" t="s">
        <v>51</v>
      </c>
      <c r="G35" s="6" t="s">
        <v>52</v>
      </c>
      <c r="H35" s="5"/>
    </row>
    <row r="36" customFormat="false" ht="23.85" hidden="false" customHeight="false" outlineLevel="0" collapsed="false">
      <c r="A36" s="5" t="s">
        <v>58</v>
      </c>
      <c r="B36" s="6" t="n">
        <v>4</v>
      </c>
      <c r="C36" s="5" t="s">
        <v>64</v>
      </c>
      <c r="D36" s="5" t="s">
        <v>65</v>
      </c>
      <c r="E36" s="6" t="s">
        <v>11</v>
      </c>
      <c r="F36" s="7" t="s">
        <v>51</v>
      </c>
      <c r="G36" s="6" t="s">
        <v>52</v>
      </c>
      <c r="H36" s="5"/>
    </row>
    <row r="37" customFormat="false" ht="23.85" hidden="false" customHeight="false" outlineLevel="0" collapsed="false">
      <c r="A37" s="5" t="s">
        <v>58</v>
      </c>
      <c r="B37" s="6" t="n">
        <v>4</v>
      </c>
      <c r="C37" s="5" t="s">
        <v>64</v>
      </c>
      <c r="D37" s="5" t="s">
        <v>66</v>
      </c>
      <c r="E37" s="6" t="s">
        <v>11</v>
      </c>
      <c r="F37" s="7" t="s">
        <v>51</v>
      </c>
      <c r="G37" s="6" t="s">
        <v>52</v>
      </c>
      <c r="H37" s="5"/>
    </row>
    <row r="38" customFormat="false" ht="23.85" hidden="false" customHeight="false" outlineLevel="0" collapsed="false">
      <c r="A38" s="5" t="s">
        <v>58</v>
      </c>
      <c r="B38" s="6" t="n">
        <v>4</v>
      </c>
      <c r="C38" s="5" t="s">
        <v>64</v>
      </c>
      <c r="D38" s="5" t="s">
        <v>67</v>
      </c>
      <c r="E38" s="6" t="s">
        <v>25</v>
      </c>
      <c r="F38" s="7" t="s">
        <v>51</v>
      </c>
      <c r="G38" s="6" t="s">
        <v>52</v>
      </c>
      <c r="H38" s="5"/>
    </row>
    <row r="39" customFormat="false" ht="23.85" hidden="false" customHeight="false" outlineLevel="0" collapsed="false">
      <c r="A39" s="5" t="s">
        <v>58</v>
      </c>
      <c r="B39" s="6" t="n">
        <v>4</v>
      </c>
      <c r="C39" s="5" t="s">
        <v>64</v>
      </c>
      <c r="D39" s="5" t="s">
        <v>68</v>
      </c>
      <c r="E39" s="6" t="s">
        <v>25</v>
      </c>
      <c r="F39" s="7" t="s">
        <v>51</v>
      </c>
      <c r="G39" s="6" t="s">
        <v>52</v>
      </c>
      <c r="H39" s="5"/>
    </row>
    <row r="40" customFormat="false" ht="23.85" hidden="false" customHeight="false" outlineLevel="0" collapsed="false">
      <c r="A40" s="5" t="s">
        <v>58</v>
      </c>
      <c r="B40" s="6" t="n">
        <v>4</v>
      </c>
      <c r="C40" s="5" t="s">
        <v>64</v>
      </c>
      <c r="D40" s="5" t="s">
        <v>69</v>
      </c>
      <c r="E40" s="6" t="s">
        <v>43</v>
      </c>
      <c r="F40" s="7" t="s">
        <v>51</v>
      </c>
      <c r="G40" s="6" t="s">
        <v>52</v>
      </c>
      <c r="H40" s="5"/>
    </row>
    <row r="41" customFormat="false" ht="23.85" hidden="false" customHeight="false" outlineLevel="0" collapsed="false">
      <c r="A41" s="5" t="s">
        <v>58</v>
      </c>
      <c r="B41" s="6" t="n">
        <v>4</v>
      </c>
      <c r="C41" s="5" t="s">
        <v>64</v>
      </c>
      <c r="D41" s="5" t="s">
        <v>70</v>
      </c>
      <c r="E41" s="6" t="s">
        <v>25</v>
      </c>
      <c r="F41" s="7" t="s">
        <v>51</v>
      </c>
      <c r="G41" s="6" t="s">
        <v>52</v>
      </c>
      <c r="H41" s="5"/>
    </row>
    <row r="42" customFormat="false" ht="15" hidden="false" customHeight="false" outlineLevel="0" collapsed="false">
      <c r="A42" s="5" t="s">
        <v>58</v>
      </c>
      <c r="B42" s="6" t="n">
        <v>5</v>
      </c>
      <c r="C42" s="5" t="s">
        <v>71</v>
      </c>
      <c r="D42" s="5" t="s">
        <v>72</v>
      </c>
      <c r="E42" s="6" t="s">
        <v>11</v>
      </c>
      <c r="F42" s="7" t="s">
        <v>51</v>
      </c>
      <c r="G42" s="6" t="s">
        <v>52</v>
      </c>
      <c r="H42" s="5"/>
    </row>
    <row r="43" customFormat="false" ht="23.85" hidden="false" customHeight="false" outlineLevel="0" collapsed="false">
      <c r="A43" s="5" t="s">
        <v>58</v>
      </c>
      <c r="B43" s="6" t="n">
        <v>5</v>
      </c>
      <c r="C43" s="5" t="s">
        <v>71</v>
      </c>
      <c r="D43" s="5" t="s">
        <v>73</v>
      </c>
      <c r="E43" s="6" t="s">
        <v>11</v>
      </c>
      <c r="F43" s="7" t="s">
        <v>51</v>
      </c>
      <c r="G43" s="6" t="s">
        <v>52</v>
      </c>
      <c r="H43" s="5"/>
    </row>
    <row r="44" customFormat="false" ht="15" hidden="false" customHeight="false" outlineLevel="0" collapsed="false">
      <c r="A44" s="5" t="s">
        <v>58</v>
      </c>
      <c r="B44" s="6" t="n">
        <v>5</v>
      </c>
      <c r="C44" s="5" t="s">
        <v>71</v>
      </c>
      <c r="D44" s="5" t="s">
        <v>74</v>
      </c>
      <c r="E44" s="6" t="s">
        <v>25</v>
      </c>
      <c r="F44" s="7" t="s">
        <v>51</v>
      </c>
      <c r="G44" s="6" t="s">
        <v>52</v>
      </c>
      <c r="H44" s="5"/>
    </row>
    <row r="45" customFormat="false" ht="23.85" hidden="false" customHeight="false" outlineLevel="0" collapsed="false">
      <c r="A45" s="5" t="s">
        <v>58</v>
      </c>
      <c r="B45" s="6" t="n">
        <v>5</v>
      </c>
      <c r="C45" s="5" t="s">
        <v>71</v>
      </c>
      <c r="D45" s="5" t="s">
        <v>75</v>
      </c>
      <c r="E45" s="6" t="s">
        <v>25</v>
      </c>
      <c r="F45" s="7" t="s">
        <v>51</v>
      </c>
      <c r="G45" s="6" t="s">
        <v>52</v>
      </c>
      <c r="H45" s="5"/>
    </row>
    <row r="46" customFormat="false" ht="23.85" hidden="false" customHeight="false" outlineLevel="0" collapsed="false">
      <c r="A46" s="5" t="s">
        <v>58</v>
      </c>
      <c r="B46" s="6" t="n">
        <v>5</v>
      </c>
      <c r="C46" s="5" t="s">
        <v>71</v>
      </c>
      <c r="D46" s="5" t="s">
        <v>76</v>
      </c>
      <c r="E46" s="6" t="s">
        <v>11</v>
      </c>
      <c r="F46" s="7" t="s">
        <v>51</v>
      </c>
      <c r="G46" s="6" t="s">
        <v>52</v>
      </c>
      <c r="H46" s="5"/>
    </row>
    <row r="47" customFormat="false" ht="15" hidden="false" customHeight="false" outlineLevel="0" collapsed="false">
      <c r="A47" s="5" t="s">
        <v>58</v>
      </c>
      <c r="B47" s="6" t="n">
        <v>6</v>
      </c>
      <c r="C47" s="5" t="s">
        <v>77</v>
      </c>
      <c r="D47" s="5" t="s">
        <v>78</v>
      </c>
      <c r="E47" s="6" t="s">
        <v>11</v>
      </c>
      <c r="F47" s="7" t="s">
        <v>51</v>
      </c>
      <c r="G47" s="6" t="s">
        <v>52</v>
      </c>
      <c r="H47" s="5"/>
    </row>
    <row r="48" customFormat="false" ht="15" hidden="false" customHeight="false" outlineLevel="0" collapsed="false">
      <c r="A48" s="5" t="s">
        <v>58</v>
      </c>
      <c r="B48" s="6" t="n">
        <v>6</v>
      </c>
      <c r="C48" s="5" t="s">
        <v>77</v>
      </c>
      <c r="D48" s="5" t="s">
        <v>79</v>
      </c>
      <c r="E48" s="6" t="s">
        <v>11</v>
      </c>
      <c r="F48" s="7" t="s">
        <v>51</v>
      </c>
      <c r="G48" s="6" t="s">
        <v>52</v>
      </c>
      <c r="H48" s="5"/>
    </row>
    <row r="49" customFormat="false" ht="15" hidden="false" customHeight="false" outlineLevel="0" collapsed="false">
      <c r="A49" s="5" t="s">
        <v>58</v>
      </c>
      <c r="B49" s="6" t="n">
        <v>6</v>
      </c>
      <c r="C49" s="5" t="s">
        <v>77</v>
      </c>
      <c r="D49" s="5" t="s">
        <v>80</v>
      </c>
      <c r="E49" s="6" t="s">
        <v>11</v>
      </c>
      <c r="F49" s="7" t="s">
        <v>51</v>
      </c>
      <c r="G49" s="6" t="s">
        <v>52</v>
      </c>
      <c r="H49" s="5"/>
    </row>
    <row r="50" customFormat="false" ht="23.85" hidden="false" customHeight="false" outlineLevel="0" collapsed="false">
      <c r="A50" s="5" t="s">
        <v>58</v>
      </c>
      <c r="B50" s="6" t="n">
        <v>6</v>
      </c>
      <c r="C50" s="5" t="s">
        <v>77</v>
      </c>
      <c r="D50" s="5" t="s">
        <v>81</v>
      </c>
      <c r="E50" s="6" t="s">
        <v>25</v>
      </c>
      <c r="F50" s="7" t="s">
        <v>51</v>
      </c>
      <c r="G50" s="6" t="s">
        <v>52</v>
      </c>
      <c r="H50" s="5"/>
    </row>
    <row r="51" customFormat="false" ht="15" hidden="false" customHeight="false" outlineLevel="0" collapsed="false">
      <c r="A51" s="5" t="s">
        <v>58</v>
      </c>
      <c r="B51" s="6" t="n">
        <v>6</v>
      </c>
      <c r="C51" s="5" t="s">
        <v>77</v>
      </c>
      <c r="D51" s="5" t="s">
        <v>82</v>
      </c>
      <c r="E51" s="6" t="s">
        <v>43</v>
      </c>
      <c r="F51" s="7" t="s">
        <v>51</v>
      </c>
      <c r="G51" s="6" t="s">
        <v>52</v>
      </c>
      <c r="H51" s="5"/>
    </row>
    <row r="52" customFormat="false" ht="15" hidden="false" customHeight="false" outlineLevel="0" collapsed="false">
      <c r="A52" s="5" t="s">
        <v>58</v>
      </c>
      <c r="B52" s="6" t="n">
        <v>7</v>
      </c>
      <c r="C52" s="5" t="s">
        <v>83</v>
      </c>
      <c r="D52" s="5" t="s">
        <v>84</v>
      </c>
      <c r="E52" s="6" t="s">
        <v>11</v>
      </c>
      <c r="F52" s="7" t="s">
        <v>51</v>
      </c>
      <c r="G52" s="6" t="s">
        <v>52</v>
      </c>
      <c r="H52" s="5"/>
    </row>
    <row r="53" customFormat="false" ht="23.85" hidden="false" customHeight="false" outlineLevel="0" collapsed="false">
      <c r="A53" s="5" t="s">
        <v>58</v>
      </c>
      <c r="B53" s="6" t="n">
        <v>7</v>
      </c>
      <c r="C53" s="5" t="s">
        <v>83</v>
      </c>
      <c r="D53" s="5" t="s">
        <v>85</v>
      </c>
      <c r="E53" s="6" t="s">
        <v>11</v>
      </c>
      <c r="F53" s="7" t="s">
        <v>51</v>
      </c>
      <c r="G53" s="6" t="s">
        <v>52</v>
      </c>
      <c r="H53" s="5"/>
    </row>
    <row r="54" customFormat="false" ht="15" hidden="false" customHeight="false" outlineLevel="0" collapsed="false">
      <c r="A54" s="5" t="s">
        <v>58</v>
      </c>
      <c r="B54" s="6" t="n">
        <v>7</v>
      </c>
      <c r="C54" s="5" t="s">
        <v>83</v>
      </c>
      <c r="D54" s="5" t="s">
        <v>86</v>
      </c>
      <c r="E54" s="6" t="s">
        <v>25</v>
      </c>
      <c r="F54" s="7" t="s">
        <v>51</v>
      </c>
      <c r="G54" s="6" t="s">
        <v>52</v>
      </c>
      <c r="H54" s="5"/>
    </row>
    <row r="55" customFormat="false" ht="15" hidden="false" customHeight="false" outlineLevel="0" collapsed="false">
      <c r="A55" s="5" t="s">
        <v>58</v>
      </c>
      <c r="B55" s="6" t="n">
        <v>7</v>
      </c>
      <c r="C55" s="5" t="s">
        <v>83</v>
      </c>
      <c r="D55" s="5" t="s">
        <v>87</v>
      </c>
      <c r="E55" s="6" t="s">
        <v>25</v>
      </c>
      <c r="F55" s="7" t="s">
        <v>51</v>
      </c>
      <c r="G55" s="6" t="s">
        <v>52</v>
      </c>
      <c r="H55" s="5"/>
    </row>
    <row r="56" customFormat="false" ht="15" hidden="false" customHeight="false" outlineLevel="0" collapsed="false">
      <c r="A56" s="5" t="s">
        <v>58</v>
      </c>
      <c r="B56" s="6" t="n">
        <v>7</v>
      </c>
      <c r="C56" s="5" t="s">
        <v>83</v>
      </c>
      <c r="D56" s="5" t="s">
        <v>88</v>
      </c>
      <c r="E56" s="6" t="s">
        <v>25</v>
      </c>
      <c r="F56" s="7" t="s">
        <v>51</v>
      </c>
      <c r="G56" s="6" t="s">
        <v>52</v>
      </c>
      <c r="H56" s="5"/>
    </row>
    <row r="57" customFormat="false" ht="15" hidden="false" customHeight="false" outlineLevel="0" collapsed="false">
      <c r="A57" s="5" t="s">
        <v>58</v>
      </c>
      <c r="B57" s="6" t="n">
        <v>8</v>
      </c>
      <c r="C57" s="5" t="s">
        <v>89</v>
      </c>
      <c r="D57" s="5" t="s">
        <v>90</v>
      </c>
      <c r="E57" s="6" t="s">
        <v>11</v>
      </c>
      <c r="F57" s="7" t="s">
        <v>51</v>
      </c>
      <c r="G57" s="6" t="s">
        <v>52</v>
      </c>
      <c r="H57" s="5"/>
    </row>
    <row r="58" customFormat="false" ht="23.85" hidden="false" customHeight="false" outlineLevel="0" collapsed="false">
      <c r="A58" s="5" t="s">
        <v>58</v>
      </c>
      <c r="B58" s="6" t="n">
        <v>8</v>
      </c>
      <c r="C58" s="5" t="s">
        <v>89</v>
      </c>
      <c r="D58" s="5" t="s">
        <v>91</v>
      </c>
      <c r="E58" s="6" t="s">
        <v>11</v>
      </c>
      <c r="F58" s="7" t="s">
        <v>51</v>
      </c>
      <c r="G58" s="6" t="s">
        <v>52</v>
      </c>
      <c r="H58" s="5"/>
    </row>
    <row r="59" customFormat="false" ht="15" hidden="false" customHeight="false" outlineLevel="0" collapsed="false">
      <c r="A59" s="5" t="s">
        <v>58</v>
      </c>
      <c r="B59" s="6" t="n">
        <v>8</v>
      </c>
      <c r="C59" s="5" t="s">
        <v>89</v>
      </c>
      <c r="D59" s="5" t="s">
        <v>92</v>
      </c>
      <c r="E59" s="6" t="s">
        <v>43</v>
      </c>
      <c r="F59" s="7" t="s">
        <v>51</v>
      </c>
      <c r="G59" s="6" t="s">
        <v>52</v>
      </c>
      <c r="H59" s="5"/>
    </row>
    <row r="60" customFormat="false" ht="15" hidden="false" customHeight="false" outlineLevel="0" collapsed="false">
      <c r="A60" s="5" t="s">
        <v>58</v>
      </c>
      <c r="B60" s="6" t="n">
        <v>8</v>
      </c>
      <c r="C60" s="5" t="s">
        <v>89</v>
      </c>
      <c r="D60" s="5" t="s">
        <v>93</v>
      </c>
      <c r="E60" s="6" t="s">
        <v>25</v>
      </c>
      <c r="F60" s="7" t="s">
        <v>51</v>
      </c>
      <c r="G60" s="6" t="s">
        <v>52</v>
      </c>
      <c r="H60" s="5"/>
    </row>
    <row r="61" customFormat="false" ht="23.85" hidden="false" customHeight="false" outlineLevel="0" collapsed="false">
      <c r="A61" s="5" t="s">
        <v>58</v>
      </c>
      <c r="B61" s="6" t="n">
        <v>8</v>
      </c>
      <c r="C61" s="5" t="s">
        <v>89</v>
      </c>
      <c r="D61" s="5" t="s">
        <v>94</v>
      </c>
      <c r="E61" s="6" t="s">
        <v>11</v>
      </c>
      <c r="F61" s="7" t="s">
        <v>51</v>
      </c>
      <c r="G61" s="6" t="s">
        <v>52</v>
      </c>
      <c r="H61" s="5"/>
    </row>
    <row r="62" customFormat="false" ht="23.85" hidden="false" customHeight="false" outlineLevel="0" collapsed="false">
      <c r="A62" s="5" t="s">
        <v>58</v>
      </c>
      <c r="B62" s="6" t="n">
        <v>9</v>
      </c>
      <c r="C62" s="5" t="s">
        <v>95</v>
      </c>
      <c r="D62" s="5" t="s">
        <v>96</v>
      </c>
      <c r="E62" s="6" t="s">
        <v>11</v>
      </c>
      <c r="F62" s="7" t="s">
        <v>51</v>
      </c>
      <c r="G62" s="6" t="s">
        <v>52</v>
      </c>
      <c r="H62" s="5"/>
    </row>
    <row r="63" customFormat="false" ht="23.85" hidden="false" customHeight="false" outlineLevel="0" collapsed="false">
      <c r="A63" s="5" t="s">
        <v>58</v>
      </c>
      <c r="B63" s="6" t="n">
        <v>9</v>
      </c>
      <c r="C63" s="5" t="s">
        <v>95</v>
      </c>
      <c r="D63" s="5" t="s">
        <v>97</v>
      </c>
      <c r="E63" s="6" t="s">
        <v>11</v>
      </c>
      <c r="F63" s="7" t="s">
        <v>51</v>
      </c>
      <c r="G63" s="6" t="s">
        <v>52</v>
      </c>
      <c r="H63" s="5"/>
    </row>
    <row r="64" customFormat="false" ht="23.85" hidden="false" customHeight="false" outlineLevel="0" collapsed="false">
      <c r="A64" s="5" t="s">
        <v>58</v>
      </c>
      <c r="B64" s="6" t="n">
        <v>9</v>
      </c>
      <c r="C64" s="5" t="s">
        <v>95</v>
      </c>
      <c r="D64" s="5" t="s">
        <v>98</v>
      </c>
      <c r="E64" s="6" t="s">
        <v>25</v>
      </c>
      <c r="F64" s="7" t="s">
        <v>51</v>
      </c>
      <c r="G64" s="6" t="s">
        <v>52</v>
      </c>
      <c r="H64" s="5"/>
    </row>
    <row r="65" customFormat="false" ht="15" hidden="false" customHeight="false" outlineLevel="0" collapsed="false">
      <c r="A65" s="8" t="s">
        <v>99</v>
      </c>
      <c r="B65" s="9" t="n">
        <v>10</v>
      </c>
      <c r="C65" s="8" t="s">
        <v>100</v>
      </c>
      <c r="D65" s="8" t="s">
        <v>101</v>
      </c>
      <c r="E65" s="9" t="s">
        <v>25</v>
      </c>
      <c r="F65" s="10" t="s">
        <v>51</v>
      </c>
      <c r="G65" s="9" t="s">
        <v>52</v>
      </c>
      <c r="H65" s="8"/>
    </row>
    <row r="66" customFormat="false" ht="23.85" hidden="false" customHeight="false" outlineLevel="0" collapsed="false">
      <c r="A66" s="8" t="s">
        <v>99</v>
      </c>
      <c r="B66" s="9" t="n">
        <v>10</v>
      </c>
      <c r="C66" s="8" t="s">
        <v>100</v>
      </c>
      <c r="D66" s="8" t="s">
        <v>102</v>
      </c>
      <c r="E66" s="9" t="s">
        <v>11</v>
      </c>
      <c r="F66" s="10" t="s">
        <v>51</v>
      </c>
      <c r="G66" s="9" t="s">
        <v>52</v>
      </c>
      <c r="H66" s="8"/>
    </row>
    <row r="67" customFormat="false" ht="23.85" hidden="false" customHeight="false" outlineLevel="0" collapsed="false">
      <c r="A67" s="8" t="s">
        <v>99</v>
      </c>
      <c r="B67" s="9" t="n">
        <v>10</v>
      </c>
      <c r="C67" s="8" t="s">
        <v>100</v>
      </c>
      <c r="D67" s="8" t="s">
        <v>103</v>
      </c>
      <c r="E67" s="9" t="s">
        <v>25</v>
      </c>
      <c r="F67" s="10" t="s">
        <v>51</v>
      </c>
      <c r="G67" s="9" t="s">
        <v>52</v>
      </c>
      <c r="H67" s="8"/>
    </row>
    <row r="68" customFormat="false" ht="15" hidden="false" customHeight="false" outlineLevel="0" collapsed="false">
      <c r="A68" s="8" t="s">
        <v>99</v>
      </c>
      <c r="B68" s="9" t="n">
        <v>10</v>
      </c>
      <c r="C68" s="8" t="s">
        <v>100</v>
      </c>
      <c r="D68" s="8" t="s">
        <v>104</v>
      </c>
      <c r="E68" s="9" t="s">
        <v>25</v>
      </c>
      <c r="F68" s="10" t="s">
        <v>51</v>
      </c>
      <c r="G68" s="9" t="s">
        <v>52</v>
      </c>
      <c r="H68" s="8"/>
    </row>
    <row r="69" customFormat="false" ht="23.85" hidden="false" customHeight="false" outlineLevel="0" collapsed="false">
      <c r="A69" s="8" t="s">
        <v>99</v>
      </c>
      <c r="B69" s="9" t="n">
        <v>11</v>
      </c>
      <c r="C69" s="8" t="s">
        <v>105</v>
      </c>
      <c r="D69" s="8" t="s">
        <v>106</v>
      </c>
      <c r="E69" s="9" t="s">
        <v>25</v>
      </c>
      <c r="F69" s="10" t="s">
        <v>51</v>
      </c>
      <c r="G69" s="9" t="s">
        <v>52</v>
      </c>
      <c r="H69" s="8"/>
    </row>
    <row r="70" customFormat="false" ht="15" hidden="false" customHeight="false" outlineLevel="0" collapsed="false">
      <c r="A70" s="8" t="s">
        <v>99</v>
      </c>
      <c r="B70" s="9" t="n">
        <v>11</v>
      </c>
      <c r="C70" s="8" t="s">
        <v>105</v>
      </c>
      <c r="D70" s="8" t="s">
        <v>107</v>
      </c>
      <c r="E70" s="9" t="s">
        <v>25</v>
      </c>
      <c r="F70" s="10" t="s">
        <v>51</v>
      </c>
      <c r="G70" s="9" t="s">
        <v>52</v>
      </c>
      <c r="H70" s="8"/>
    </row>
    <row r="71" customFormat="false" ht="23.85" hidden="false" customHeight="false" outlineLevel="0" collapsed="false">
      <c r="A71" s="8" t="s">
        <v>99</v>
      </c>
      <c r="B71" s="9" t="n">
        <v>11</v>
      </c>
      <c r="C71" s="8" t="s">
        <v>105</v>
      </c>
      <c r="D71" s="8" t="s">
        <v>108</v>
      </c>
      <c r="E71" s="9" t="s">
        <v>25</v>
      </c>
      <c r="F71" s="10" t="s">
        <v>51</v>
      </c>
      <c r="G71" s="9" t="s">
        <v>52</v>
      </c>
      <c r="H71" s="8"/>
    </row>
    <row r="72" customFormat="false" ht="15" hidden="false" customHeight="false" outlineLevel="0" collapsed="false">
      <c r="A72" s="8" t="s">
        <v>99</v>
      </c>
      <c r="B72" s="9" t="n">
        <v>11</v>
      </c>
      <c r="C72" s="8" t="s">
        <v>105</v>
      </c>
      <c r="D72" s="8" t="s">
        <v>109</v>
      </c>
      <c r="E72" s="9" t="s">
        <v>25</v>
      </c>
      <c r="F72" s="10" t="s">
        <v>51</v>
      </c>
      <c r="G72" s="9" t="s">
        <v>52</v>
      </c>
      <c r="H72" s="8"/>
    </row>
    <row r="73" customFormat="false" ht="15" hidden="false" customHeight="false" outlineLevel="0" collapsed="false">
      <c r="A73" s="8" t="s">
        <v>99</v>
      </c>
      <c r="B73" s="9" t="n">
        <v>11</v>
      </c>
      <c r="C73" s="8" t="s">
        <v>105</v>
      </c>
      <c r="D73" s="8" t="s">
        <v>110</v>
      </c>
      <c r="E73" s="9" t="s">
        <v>43</v>
      </c>
      <c r="F73" s="10" t="s">
        <v>51</v>
      </c>
      <c r="G73" s="9" t="s">
        <v>52</v>
      </c>
      <c r="H73" s="8"/>
    </row>
    <row r="74" customFormat="false" ht="23.85" hidden="false" customHeight="false" outlineLevel="0" collapsed="false">
      <c r="A74" s="8" t="s">
        <v>99</v>
      </c>
      <c r="B74" s="9" t="n">
        <v>12</v>
      </c>
      <c r="C74" s="8" t="s">
        <v>111</v>
      </c>
      <c r="D74" s="8" t="s">
        <v>112</v>
      </c>
      <c r="E74" s="9" t="s">
        <v>11</v>
      </c>
      <c r="F74" s="10" t="s">
        <v>51</v>
      </c>
      <c r="G74" s="9" t="s">
        <v>52</v>
      </c>
      <c r="H74" s="8"/>
    </row>
    <row r="75" customFormat="false" ht="23.85" hidden="false" customHeight="false" outlineLevel="0" collapsed="false">
      <c r="A75" s="8" t="s">
        <v>99</v>
      </c>
      <c r="B75" s="9" t="n">
        <v>12</v>
      </c>
      <c r="C75" s="8" t="s">
        <v>111</v>
      </c>
      <c r="D75" s="8" t="s">
        <v>113</v>
      </c>
      <c r="E75" s="9" t="s">
        <v>11</v>
      </c>
      <c r="F75" s="10" t="s">
        <v>51</v>
      </c>
      <c r="G75" s="9" t="s">
        <v>52</v>
      </c>
      <c r="H75" s="8"/>
    </row>
    <row r="76" customFormat="false" ht="23.85" hidden="false" customHeight="false" outlineLevel="0" collapsed="false">
      <c r="A76" s="8" t="s">
        <v>99</v>
      </c>
      <c r="B76" s="9" t="n">
        <v>12</v>
      </c>
      <c r="C76" s="8" t="s">
        <v>111</v>
      </c>
      <c r="D76" s="8" t="s">
        <v>114</v>
      </c>
      <c r="E76" s="9" t="s">
        <v>25</v>
      </c>
      <c r="F76" s="10" t="s">
        <v>51</v>
      </c>
      <c r="G76" s="9" t="s">
        <v>52</v>
      </c>
      <c r="H76" s="8"/>
    </row>
    <row r="77" customFormat="false" ht="23.85" hidden="false" customHeight="false" outlineLevel="0" collapsed="false">
      <c r="A77" s="8" t="s">
        <v>99</v>
      </c>
      <c r="B77" s="9" t="n">
        <v>12</v>
      </c>
      <c r="C77" s="8" t="s">
        <v>111</v>
      </c>
      <c r="D77" s="8" t="s">
        <v>115</v>
      </c>
      <c r="E77" s="9" t="s">
        <v>25</v>
      </c>
      <c r="F77" s="10" t="s">
        <v>51</v>
      </c>
      <c r="G77" s="9" t="s">
        <v>52</v>
      </c>
      <c r="H77" s="8"/>
    </row>
    <row r="80" customFormat="false" ht="15" hidden="false" customHeight="false" outlineLevel="0" collapsed="false">
      <c r="A80" s="11" t="s">
        <v>116</v>
      </c>
    </row>
    <row r="81" customFormat="false" ht="15" hidden="false" customHeight="false" outlineLevel="0" collapsed="false">
      <c r="A81" s="12" t="s">
        <v>117</v>
      </c>
      <c r="B81" s="12"/>
      <c r="C81" s="12"/>
      <c r="D81" s="12"/>
      <c r="E81" s="12"/>
      <c r="F81" s="12"/>
      <c r="G81" s="12"/>
      <c r="H81" s="12"/>
    </row>
    <row r="82" customFormat="false" ht="15" hidden="false" customHeight="false" outlineLevel="0" collapsed="false">
      <c r="A82" s="12" t="s">
        <v>118</v>
      </c>
      <c r="B82" s="12"/>
      <c r="C82" s="12"/>
      <c r="D82" s="12"/>
      <c r="E82" s="12"/>
      <c r="F82" s="12"/>
      <c r="G82" s="12"/>
      <c r="H82" s="12"/>
    </row>
    <row r="83" customFormat="false" ht="15" hidden="false" customHeight="false" outlineLevel="0" collapsed="false">
      <c r="A83" s="12" t="s">
        <v>119</v>
      </c>
      <c r="B83" s="12"/>
      <c r="C83" s="12"/>
      <c r="D83" s="12"/>
      <c r="E83" s="12"/>
      <c r="F83" s="12"/>
      <c r="G83" s="12"/>
      <c r="H83" s="12"/>
    </row>
    <row r="84" customFormat="false" ht="15" hidden="false" customHeight="false" outlineLevel="0" collapsed="false">
      <c r="A84" s="12" t="s">
        <v>120</v>
      </c>
      <c r="B84" s="12"/>
      <c r="C84" s="12"/>
      <c r="D84" s="12"/>
      <c r="E84" s="12"/>
      <c r="F84" s="12"/>
      <c r="G84" s="12"/>
      <c r="H84" s="12"/>
    </row>
  </sheetData>
  <autoFilter ref="A1:H77"/>
  <mergeCells count="4">
    <mergeCell ref="A81:H81"/>
    <mergeCell ref="A82:H82"/>
    <mergeCell ref="A83:H83"/>
    <mergeCell ref="A84:H84"/>
  </mergeCells>
  <conditionalFormatting sqref="E2:E77">
    <cfRule type="cellIs" priority="2" operator="equal" aboveAverage="0" equalAverage="0" bottom="0" percent="0" rank="0" text="" dxfId="11">
      <formula>"P0"</formula>
    </cfRule>
    <cfRule type="cellIs" priority="3" operator="equal" aboveAverage="0" equalAverage="0" bottom="0" percent="0" rank="0" text="" dxfId="12">
      <formula>"P1"</formula>
    </cfRule>
    <cfRule type="cellIs" priority="4" operator="equal" aboveAverage="0" equalAverage="0" bottom="0" percent="0" rank="0" text="" dxfId="13">
      <formula>"P2"</formula>
    </cfRule>
  </conditionalFormatting>
  <conditionalFormatting sqref="F2:F77">
    <cfRule type="cellIs" priority="5" operator="equal" aboveAverage="0" equalAverage="0" bottom="0" percent="0" rank="0" text="" dxfId="11">
      <formula>"Built (slides + live demo)"</formula>
    </cfRule>
    <cfRule type="cellIs" priority="6" operator="equal" aboveAverage="0" equalAverage="0" bottom="0" percent="0" rank="0" text="" dxfId="14">
      <formula>"Built (slides only)"</formula>
    </cfRule>
    <cfRule type="cellIs" priority="7" operator="equal" aboveAverage="0" equalAverage="0" bottom="0" percent="0" rank="0" text="" dxfId="15">
      <formula>"Planned"</formula>
    </cfRule>
  </conditionalFormatting>
  <dataValidations count="3">
    <dataValidation allowBlank="false" error="Choose P0, P1, or P2" errorStyle="stop" operator="between" prompt="P0 = must-know core, P1 = important, P2 = nice-to-have / advanced" showDropDown="false" showErrorMessage="false" showInputMessage="false" sqref="E2:E77" type="list">
      <formula1>"P0,P1,P2"</formula1>
      <formula2>0</formula2>
    </dataValidation>
    <dataValidation allowBlank="false" error="Choose a valid status" errorStyle="stop" operator="between" showDropDown="false" showErrorMessage="false" showInputMessage="false" sqref="F2:F77" type="list">
      <formula1>"Built (slides + live demo),Built (slides only),Planned"</formula1>
      <formula2>0</formula2>
    </dataValidation>
    <dataValidation allowBlank="false" errorStyle="stop" operator="between" showDropDown="false" showErrorMessage="false" showInputMessage="false" sqref="G2:G77" type="list">
      <formula1>"Session 1 (Wed),Session 2 (Fri),TBD"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3" t="s">
        <v>121</v>
      </c>
      <c r="B1" s="13"/>
      <c r="C1" s="13"/>
      <c r="D1" s="13"/>
    </row>
    <row r="3" customFormat="false" ht="15" hidden="false" customHeight="false" outlineLevel="0" collapsed="false">
      <c r="A3" s="14" t="s">
        <v>122</v>
      </c>
    </row>
    <row r="4" customFormat="false" ht="15" hidden="false" customHeight="false" outlineLevel="0" collapsed="false">
      <c r="A4" s="15" t="s">
        <v>4</v>
      </c>
      <c r="B4" s="15" t="s">
        <v>123</v>
      </c>
    </row>
    <row r="5" customFormat="false" ht="15" hidden="false" customHeight="false" outlineLevel="0" collapsed="false">
      <c r="A5" s="16" t="s">
        <v>11</v>
      </c>
      <c r="B5" s="16" t="n">
        <f aca="false">COUNTIF('Curriculum Tracker'!$E$2:$E$77,A5)</f>
        <v>31</v>
      </c>
    </row>
    <row r="6" customFormat="false" ht="15" hidden="false" customHeight="false" outlineLevel="0" collapsed="false">
      <c r="A6" s="16" t="s">
        <v>25</v>
      </c>
      <c r="B6" s="16" t="n">
        <f aca="false">COUNTIF('Curriculum Tracker'!$E$2:$E$77,A6)</f>
        <v>35</v>
      </c>
    </row>
    <row r="7" customFormat="false" ht="15" hidden="false" customHeight="false" outlineLevel="0" collapsed="false">
      <c r="A7" s="16" t="s">
        <v>43</v>
      </c>
      <c r="B7" s="16" t="n">
        <f aca="false">COUNTIF('Curriculum Tracker'!$E$2:$E$77,A7)</f>
        <v>10</v>
      </c>
    </row>
    <row r="8" customFormat="false" ht="15" hidden="false" customHeight="false" outlineLevel="0" collapsed="false">
      <c r="A8" s="14" t="s">
        <v>124</v>
      </c>
      <c r="B8" s="14" t="n">
        <f aca="false">SUM(B5:B7)</f>
        <v>76</v>
      </c>
    </row>
    <row r="11" customFormat="false" ht="15" hidden="false" customHeight="false" outlineLevel="0" collapsed="false">
      <c r="A11" s="14" t="s">
        <v>125</v>
      </c>
    </row>
    <row r="12" customFormat="false" ht="15" hidden="false" customHeight="false" outlineLevel="0" collapsed="false">
      <c r="A12" s="15" t="s">
        <v>5</v>
      </c>
      <c r="B12" s="15" t="s">
        <v>123</v>
      </c>
    </row>
    <row r="13" customFormat="false" ht="15" hidden="false" customHeight="false" outlineLevel="0" collapsed="false">
      <c r="A13" s="17" t="s">
        <v>17</v>
      </c>
      <c r="B13" s="16" t="n">
        <f aca="false">COUNTIF('Curriculum Tracker'!$F$2:$F$77,A13)</f>
        <v>6</v>
      </c>
    </row>
    <row r="14" customFormat="false" ht="15" hidden="false" customHeight="false" outlineLevel="0" collapsed="false">
      <c r="A14" s="17" t="s">
        <v>12</v>
      </c>
      <c r="B14" s="16" t="n">
        <f aca="false">COUNTIF('Curriculum Tracker'!$F$2:$F$77,A14)</f>
        <v>18</v>
      </c>
    </row>
    <row r="15" customFormat="false" ht="15" hidden="false" customHeight="false" outlineLevel="0" collapsed="false">
      <c r="A15" s="17" t="s">
        <v>51</v>
      </c>
      <c r="B15" s="16" t="n">
        <f aca="false">COUNTIF('Curriculum Tracker'!$F$2:$F$77,A15)</f>
        <v>52</v>
      </c>
    </row>
    <row r="16" customFormat="false" ht="15" hidden="false" customHeight="false" outlineLevel="0" collapsed="false">
      <c r="A16" s="14" t="s">
        <v>124</v>
      </c>
      <c r="B16" s="14" t="n">
        <f aca="false">SUM(B13:B15)</f>
        <v>76</v>
      </c>
    </row>
    <row r="19" customFormat="false" ht="15" hidden="false" customHeight="false" outlineLevel="0" collapsed="false">
      <c r="A19" s="14" t="s">
        <v>126</v>
      </c>
    </row>
    <row r="20" customFormat="false" ht="15" hidden="false" customHeight="false" outlineLevel="0" collapsed="false">
      <c r="A20" s="18" t="s">
        <v>0</v>
      </c>
      <c r="B20" s="18" t="s">
        <v>123</v>
      </c>
      <c r="C20" s="18" t="s">
        <v>127</v>
      </c>
    </row>
    <row r="21" customFormat="false" ht="23.85" hidden="false" customHeight="false" outlineLevel="0" collapsed="false">
      <c r="A21" s="19" t="s">
        <v>8</v>
      </c>
      <c r="B21" s="16" t="n">
        <f aca="false">COUNTIF('Curriculum Tracker'!$A$2:$A$77,A21)</f>
        <v>30</v>
      </c>
      <c r="C21" s="16" t="n">
        <f aca="false">COUNTIFS('Curriculum Tracker'!$A$2:$A$77,A21,'Curriculum Tracker'!$F$2:$F$77,"Planned")</f>
        <v>6</v>
      </c>
    </row>
    <row r="22" customFormat="false" ht="15" hidden="false" customHeight="false" outlineLevel="0" collapsed="false">
      <c r="A22" s="19" t="s">
        <v>58</v>
      </c>
      <c r="B22" s="16" t="n">
        <f aca="false">COUNTIF('Curriculum Tracker'!$A$2:$A$77,A22)</f>
        <v>33</v>
      </c>
      <c r="C22" s="16" t="n">
        <f aca="false">COUNTIFS('Curriculum Tracker'!$A$2:$A$77,A22,'Curriculum Tracker'!$F$2:$F$77,"Planned")</f>
        <v>33</v>
      </c>
    </row>
    <row r="23" customFormat="false" ht="15" hidden="false" customHeight="false" outlineLevel="0" collapsed="false">
      <c r="A23" s="19" t="s">
        <v>99</v>
      </c>
      <c r="B23" s="16" t="n">
        <f aca="false">COUNTIF('Curriculum Tracker'!$A$2:$A$77,A23)</f>
        <v>13</v>
      </c>
      <c r="C23" s="16" t="n">
        <f aca="false">COUNTIFS('Curriculum Tracker'!$A$2:$A$77,A23,'Curriculum Tracker'!$F$2:$F$77,"Planned")</f>
        <v>13</v>
      </c>
    </row>
    <row r="24" customFormat="false" ht="15" hidden="false" customHeight="false" outlineLevel="0" collapsed="false">
      <c r="A24" s="14" t="s">
        <v>124</v>
      </c>
      <c r="B24" s="14" t="n">
        <f aca="false">SUM(B21:B23)</f>
        <v>76</v>
      </c>
      <c r="C24" s="14" t="n">
        <f aca="false">SUM(C21:C23)</f>
        <v>52</v>
      </c>
    </row>
    <row r="27" customFormat="false" ht="15" hidden="false" customHeight="false" outlineLevel="0" collapsed="false">
      <c r="A27" s="12" t="s">
        <v>128</v>
      </c>
      <c r="B27" s="12"/>
      <c r="C27" s="12"/>
      <c r="D27" s="12"/>
    </row>
  </sheetData>
  <mergeCells count="2">
    <mergeCell ref="A1:D1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2026-10-01T09:42:21Z</dcterms:created>
  <dc:creator>openpyxl</dc:creator>
  <dc:description/>
  <dc:language>en-US</dc:language>
  <cp:lastModifiedBy/>
  <dcterms:modified xsi:type="dcterms:W3CDTF">2026-10-01T09:42:21Z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